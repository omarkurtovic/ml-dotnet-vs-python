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source\repos\omarkurtovic\ml-dotnet-vs-python\Word\"/>
    </mc:Choice>
  </mc:AlternateContent>
  <xr:revisionPtr revIDLastSave="0" documentId="13_ncr:1_{771DA4EC-51AB-4028-B9B9-4DEEA3E71D87}" xr6:coauthVersionLast="47" xr6:coauthVersionMax="47" xr10:uidLastSave="{00000000-0000-0000-0000-000000000000}"/>
  <bookViews>
    <workbookView xWindow="-120" yWindow="-120" windowWidth="38640" windowHeight="21120" xr2:uid="{4EAF71C1-AA1B-4CDB-9B0B-819C93A82B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I2" i="1"/>
  <c r="I3" i="1"/>
  <c r="I4" i="1"/>
  <c r="I5" i="1"/>
  <c r="I6" i="1"/>
  <c r="I7" i="1"/>
  <c r="I8" i="1"/>
</calcChain>
</file>

<file path=xl/sharedStrings.xml><?xml version="1.0" encoding="utf-8"?>
<sst xmlns="http://schemas.openxmlformats.org/spreadsheetml/2006/main" count="18" uniqueCount="18">
  <si>
    <t>C# 1</t>
  </si>
  <si>
    <t>C# 2</t>
  </si>
  <si>
    <t>C# 3</t>
  </si>
  <si>
    <t>Python 1</t>
  </si>
  <si>
    <t>Python 2</t>
  </si>
  <si>
    <t>Python 3</t>
  </si>
  <si>
    <t>Vrijeme treniranja</t>
  </si>
  <si>
    <t>Tačnost</t>
  </si>
  <si>
    <t>Odziv maligne klase</t>
  </si>
  <si>
    <t>Makro preciznost</t>
  </si>
  <si>
    <t>Makro odziv</t>
  </si>
  <si>
    <t>78,27%</t>
  </si>
  <si>
    <t>Makro F1</t>
  </si>
  <si>
    <t>71,93%</t>
  </si>
  <si>
    <t>Makro AUC</t>
  </si>
  <si>
    <t>Prosjek ± SD2</t>
  </si>
  <si>
    <t>Metrike</t>
  </si>
  <si>
    <t>Prosjek  ± 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</si>
</sst>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2" xfId="0" applyFont="1" applyBorder="1" applyAlignment="1">
      <alignment horizontal="justify" vertical="center" wrapText="1"/>
    </xf>
    <xf numFmtId="0" fontId="1" fillId="0" borderId="3" xfId="0" applyFont="1" applyBorder="1" applyAlignment="1">
      <alignment horizontal="justify" vertical="center" wrapText="1"/>
    </xf>
    <xf numFmtId="0" fontId="1" fillId="0" borderId="4" xfId="0" applyFont="1" applyBorder="1" applyAlignment="1">
      <alignment horizontal="justify" vertical="center" wrapText="1"/>
    </xf>
    <xf numFmtId="2" fontId="1" fillId="0" borderId="5" xfId="0" applyNumberFormat="1" applyFont="1" applyBorder="1" applyAlignment="1">
      <alignment horizontal="justify" vertical="center" wrapText="1"/>
    </xf>
    <xf numFmtId="2" fontId="1" fillId="0" borderId="1" xfId="0" applyNumberFormat="1" applyFont="1" applyBorder="1" applyAlignment="1">
      <alignment horizontal="justify" vertical="center" wrapText="1"/>
    </xf>
    <xf numFmtId="2" fontId="0" fillId="0" borderId="6" xfId="0" applyNumberFormat="1" applyBorder="1"/>
    <xf numFmtId="0" fontId="1" fillId="0" borderId="5" xfId="0" applyFont="1" applyBorder="1" applyAlignment="1">
      <alignment horizontal="justify" vertical="center" wrapText="1"/>
    </xf>
    <xf numFmtId="10" fontId="1" fillId="0" borderId="1" xfId="0" applyNumberFormat="1" applyFont="1" applyBorder="1" applyAlignment="1">
      <alignment horizontal="justify" vertical="center" wrapText="1"/>
    </xf>
    <xf numFmtId="10" fontId="0" fillId="0" borderId="6" xfId="0" applyNumberFormat="1" applyBorder="1"/>
    <xf numFmtId="0" fontId="1" fillId="0" borderId="7" xfId="0" applyFont="1" applyBorder="1" applyAlignment="1">
      <alignment horizontal="justify" vertical="center" wrapText="1"/>
    </xf>
    <xf numFmtId="10" fontId="1" fillId="0" borderId="8" xfId="0" applyNumberFormat="1" applyFont="1" applyBorder="1" applyAlignment="1">
      <alignment horizontal="justify" vertical="center" wrapText="1"/>
    </xf>
    <xf numFmtId="10" fontId="0" fillId="0" borderId="9" xfId="0" applyNumberFormat="1" applyBorder="1"/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  <alignment horizontal="justify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justify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justify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justify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justify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justify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justify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justify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justify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justify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6174EA-41C6-4A70-8404-3C53704F5F52}" name="Table1" displayName="Table1" ref="A1:I8" totalsRowShown="0" headerRowDxfId="2" dataDxfId="13" headerRowBorderDxfId="11" tableBorderDxfId="12" totalsRowBorderDxfId="10">
  <autoFilter ref="A1:I8" xr:uid="{BF6174EA-41C6-4A70-8404-3C53704F5F52}"/>
  <tableColumns count="9">
    <tableColumn id="1" xr3:uid="{6401034C-4ED1-407E-80E7-E2EB16481849}" name="Metrike" dataDxfId="9"/>
    <tableColumn id="2" xr3:uid="{06EA2B4A-F014-4F63-905A-7BEAFC1FD8C5}" name="C# 1" dataDxfId="8"/>
    <tableColumn id="3" xr3:uid="{563E5A62-D0F0-4031-8459-95E4BA9CBDBF}" name="C# 2" dataDxfId="7"/>
    <tableColumn id="4" xr3:uid="{7D0CB0C7-4969-4EB9-BE3C-DA23CDD44FEF}" name="C# 3" dataDxfId="6"/>
    <tableColumn id="5" xr3:uid="{1A84A58D-83EA-4727-8B18-4376488C71F5}" name="Prosjek  ± SD" dataDxfId="0">
      <calculatedColumnFormula>FIXED(AVERAGE(B2:D2)*100, 2, TRUE) &amp; " ± " &amp; FIXED(_xlfn.STDEV.S(B2:D2)*100, 2, TRUE)</calculatedColumnFormula>
    </tableColumn>
    <tableColumn id="6" xr3:uid="{6FF159A5-3BC3-4C92-9E1B-3CC1928362A2}" name="Python 1" dataDxfId="5"/>
    <tableColumn id="7" xr3:uid="{9F166926-181C-4216-B003-78A81AF433F0}" name="Python 2" dataDxfId="4"/>
    <tableColumn id="8" xr3:uid="{6C1EB1E5-9678-457D-AEA4-1060E1BAE98C}" name="Python 3" dataDxfId="3"/>
    <tableColumn id="9" xr3:uid="{11A3B271-D5F8-4C88-8C76-F2361DB67978}" name="Prosjek ± SD2" dataDxfId="1">
      <calculatedColumnFormula>FIXED(AVERAGE(F2:H2)*100, 2, TRUE) &amp; " ± " &amp; FIXED(_xlfn.STDEV.S(F2:H2)*100, 2, TRUE)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1CACA-8FD4-4875-BFC4-0E4960F0D112}">
  <dimension ref="A1:I8"/>
  <sheetViews>
    <sheetView tabSelected="1" zoomScale="190" zoomScaleNormal="190" workbookViewId="0">
      <selection sqref="A1:I8"/>
    </sheetView>
  </sheetViews>
  <sheetFormatPr defaultRowHeight="15" x14ac:dyDescent="0.25"/>
  <cols>
    <col min="1" max="9" width="10.7109375" customWidth="1"/>
  </cols>
  <sheetData>
    <row r="1" spans="1:9" ht="15.75" x14ac:dyDescent="0.25">
      <c r="A1" s="1" t="s">
        <v>16</v>
      </c>
      <c r="B1" s="2" t="s">
        <v>0</v>
      </c>
      <c r="C1" s="2" t="s">
        <v>1</v>
      </c>
      <c r="D1" s="2" t="s">
        <v>2</v>
      </c>
      <c r="E1" s="2" t="s">
        <v>17</v>
      </c>
      <c r="F1" s="2" t="s">
        <v>3</v>
      </c>
      <c r="G1" s="2" t="s">
        <v>4</v>
      </c>
      <c r="H1" s="2" t="s">
        <v>5</v>
      </c>
      <c r="I1" s="3" t="s">
        <v>15</v>
      </c>
    </row>
    <row r="2" spans="1:9" ht="30" customHeight="1" x14ac:dyDescent="0.25">
      <c r="A2" s="4" t="s">
        <v>6</v>
      </c>
      <c r="B2" s="5">
        <v>184.05</v>
      </c>
      <c r="C2" s="5">
        <v>189.8</v>
      </c>
      <c r="D2" s="5">
        <v>192.57</v>
      </c>
      <c r="E2" s="5" t="str">
        <f t="shared" ref="E2:E8" si="0">FIXED(AVERAGE(B2:D2)*100, 2, TRUE) &amp; " ± " &amp; FIXED(_xlfn.STDEV.S(B2:D2)*100, 2, TRUE)</f>
        <v>18880,67 ± 434,60</v>
      </c>
      <c r="F2" s="5">
        <v>283.79000000000002</v>
      </c>
      <c r="G2" s="5">
        <v>330.07</v>
      </c>
      <c r="H2" s="5">
        <v>294.75</v>
      </c>
      <c r="I2" s="6" t="str">
        <f t="shared" ref="I2:I8" si="1">FIXED(AVERAGE(F2:H2)*100, 2, TRUE) &amp; " ± " &amp; FIXED(_xlfn.STDEV.S(F2:H2)*100, 2, TRUE)</f>
        <v>30287,00 ± 2418,49</v>
      </c>
    </row>
    <row r="3" spans="1:9" ht="30" customHeight="1" x14ac:dyDescent="0.25">
      <c r="A3" s="7" t="s">
        <v>7</v>
      </c>
      <c r="B3" s="8">
        <v>0.8145</v>
      </c>
      <c r="C3" s="8">
        <v>0.80730000000000002</v>
      </c>
      <c r="D3" s="8">
        <v>0.86909999999999998</v>
      </c>
      <c r="E3" s="8" t="str">
        <f t="shared" si="0"/>
        <v>83,03 ± 3,38</v>
      </c>
      <c r="F3" s="8">
        <v>0.80730000000000002</v>
      </c>
      <c r="G3" s="8">
        <v>0.82179999999999997</v>
      </c>
      <c r="H3" s="8">
        <v>0.88729999999999998</v>
      </c>
      <c r="I3" s="9" t="str">
        <f t="shared" si="1"/>
        <v>83,88 ± 4,26</v>
      </c>
    </row>
    <row r="4" spans="1:9" ht="30" customHeight="1" x14ac:dyDescent="0.25">
      <c r="A4" s="7" t="s">
        <v>8</v>
      </c>
      <c r="B4" s="8">
        <v>1</v>
      </c>
      <c r="C4" s="8">
        <v>1</v>
      </c>
      <c r="D4" s="8">
        <v>1</v>
      </c>
      <c r="E4" s="8" t="str">
        <f t="shared" si="0"/>
        <v>100,00 ± 0,00</v>
      </c>
      <c r="F4" s="8">
        <v>1</v>
      </c>
      <c r="G4" s="8">
        <v>1</v>
      </c>
      <c r="H4" s="8">
        <v>1</v>
      </c>
      <c r="I4" s="9" t="str">
        <f t="shared" si="1"/>
        <v>100,00 ± 0,00</v>
      </c>
    </row>
    <row r="5" spans="1:9" ht="30" customHeight="1" x14ac:dyDescent="0.25">
      <c r="A5" s="7" t="s">
        <v>9</v>
      </c>
      <c r="B5" s="8">
        <v>0.68810000000000004</v>
      </c>
      <c r="C5" s="8">
        <v>0.74760000000000004</v>
      </c>
      <c r="D5" s="8">
        <v>0.75060000000000004</v>
      </c>
      <c r="E5" s="8" t="str">
        <f t="shared" si="0"/>
        <v>72,88 ± 3,53</v>
      </c>
      <c r="F5" s="8">
        <v>0.65380000000000005</v>
      </c>
      <c r="G5" s="8">
        <v>0.72450000000000003</v>
      </c>
      <c r="H5" s="8">
        <v>0.76490000000000002</v>
      </c>
      <c r="I5" s="9" t="str">
        <f t="shared" si="1"/>
        <v>71,44 ± 5,62</v>
      </c>
    </row>
    <row r="6" spans="1:9" ht="30" customHeight="1" x14ac:dyDescent="0.25">
      <c r="A6" s="7" t="s">
        <v>10</v>
      </c>
      <c r="B6" s="8">
        <v>0.69420000000000004</v>
      </c>
      <c r="C6" s="8" t="s">
        <v>11</v>
      </c>
      <c r="D6" s="8">
        <v>0.7581</v>
      </c>
      <c r="E6" s="8" t="str">
        <f t="shared" si="0"/>
        <v>72,62 ± 4,52</v>
      </c>
      <c r="F6" s="8">
        <v>0.64829999999999999</v>
      </c>
      <c r="G6" s="8">
        <v>0.74809999999999999</v>
      </c>
      <c r="H6" s="8">
        <v>0.71089999999999998</v>
      </c>
      <c r="I6" s="9" t="str">
        <f t="shared" si="1"/>
        <v>70,24 ± 5,04</v>
      </c>
    </row>
    <row r="7" spans="1:9" ht="30" customHeight="1" x14ac:dyDescent="0.25">
      <c r="A7" s="7" t="s">
        <v>12</v>
      </c>
      <c r="B7" s="8">
        <v>0.68530000000000002</v>
      </c>
      <c r="C7" s="8" t="s">
        <v>13</v>
      </c>
      <c r="D7" s="8">
        <v>0.75370000000000004</v>
      </c>
      <c r="E7" s="8" t="str">
        <f t="shared" si="0"/>
        <v>71,95 ± 4,84</v>
      </c>
      <c r="F7" s="8">
        <v>0.64939999999999998</v>
      </c>
      <c r="G7" s="8">
        <v>0.72089999999999999</v>
      </c>
      <c r="H7" s="8">
        <v>0.71479999999999999</v>
      </c>
      <c r="I7" s="9" t="str">
        <f t="shared" si="1"/>
        <v>69,50 ± 3,96</v>
      </c>
    </row>
    <row r="8" spans="1:9" ht="30" customHeight="1" x14ac:dyDescent="0.25">
      <c r="A8" s="10" t="s">
        <v>14</v>
      </c>
      <c r="B8" s="11">
        <v>0.91490000000000005</v>
      </c>
      <c r="C8" s="11">
        <v>0.94889999999999997</v>
      </c>
      <c r="D8" s="11">
        <v>0.93140000000000001</v>
      </c>
      <c r="E8" s="8" t="str">
        <f t="shared" si="0"/>
        <v>93,17 ± 1,70</v>
      </c>
      <c r="F8" s="11">
        <v>0.91459999999999997</v>
      </c>
      <c r="G8" s="11">
        <v>0.91869999999999996</v>
      </c>
      <c r="H8" s="11">
        <v>0.93210000000000004</v>
      </c>
      <c r="I8" s="12" t="str">
        <f t="shared" si="1"/>
        <v>92,18 ± 0,92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2026-09-21T17:30:18Z</dcterms:created>
  <dcterms:modified xsi:type="dcterms:W3CDTF">2026-09-21T18:05:35Z</dcterms:modified>
</cp:coreProperties>
</file>