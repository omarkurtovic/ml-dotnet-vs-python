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source\repos\omarkurtovic\ml-dotnet-vs-python\Word\"/>
    </mc:Choice>
  </mc:AlternateContent>
  <xr:revisionPtr revIDLastSave="0" documentId="13_ncr:1_{8EA3A3B4-58DE-48FC-A47F-4B2737282BED}" xr6:coauthVersionLast="47" xr6:coauthVersionMax="47" xr10:uidLastSave="{00000000-0000-0000-0000-000000000000}"/>
  <bookViews>
    <workbookView xWindow="-28920" yWindow="5355" windowWidth="29040" windowHeight="15720" xr2:uid="{4EAF71C1-AA1B-4CDB-9B0B-819C93A82B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2" l="1"/>
  <c r="I13" i="2"/>
  <c r="E8" i="2"/>
  <c r="E9" i="2"/>
  <c r="E10" i="2"/>
  <c r="E11" i="2"/>
  <c r="E12" i="2"/>
  <c r="I8" i="2"/>
  <c r="I9" i="2"/>
  <c r="I10" i="2"/>
  <c r="I11" i="2"/>
  <c r="I12" i="2"/>
  <c r="I7" i="2"/>
  <c r="E7" i="2"/>
  <c r="I6" i="2"/>
  <c r="E6" i="2"/>
  <c r="I5" i="2"/>
  <c r="E5" i="2"/>
  <c r="I4" i="2"/>
  <c r="E4" i="2"/>
  <c r="I3" i="2"/>
  <c r="E3" i="2"/>
  <c r="I2" i="2"/>
  <c r="E2" i="2"/>
  <c r="E2" i="1"/>
  <c r="E3" i="1"/>
  <c r="E4" i="1"/>
  <c r="E5" i="1"/>
  <c r="E6" i="1"/>
  <c r="E7" i="1"/>
  <c r="E8" i="1"/>
  <c r="I2" i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<sst xmlns="http://schemas.openxmlformats.org/spreadsheetml/2006/main" count="38" uniqueCount="29">
  <si>
    <t>C# 1</t>
  </si>
  <si>
    <t>C# 2</t>
  </si>
  <si>
    <t>C# 3</t>
  </si>
  <si>
    <t>Python 1</t>
  </si>
  <si>
    <t>Python 2</t>
  </si>
  <si>
    <t>Python 3</t>
  </si>
  <si>
    <t>Vrijeme treniranja</t>
  </si>
  <si>
    <t>Tačnost</t>
  </si>
  <si>
    <t>Odziv maligne klase</t>
  </si>
  <si>
    <t>Makro preciznost</t>
  </si>
  <si>
    <t>Makro odziv</t>
  </si>
  <si>
    <t>Makro F1</t>
  </si>
  <si>
    <t>Makro AUC</t>
  </si>
  <si>
    <t>Prosjek ± SD2</t>
  </si>
  <si>
    <t>Metrike</t>
  </si>
  <si>
    <t>Prosjek  ± SD</t>
  </si>
  <si>
    <t>Odziv N</t>
  </si>
  <si>
    <t>F1 skor N</t>
  </si>
  <si>
    <t>Odziv M</t>
  </si>
  <si>
    <t>Preciznost M</t>
  </si>
  <si>
    <t>F1 skor M</t>
  </si>
  <si>
    <t>AUC N</t>
  </si>
  <si>
    <t>Preciznost N</t>
  </si>
  <si>
    <t>AUC M</t>
  </si>
  <si>
    <t>Odziv B</t>
  </si>
  <si>
    <t>Preciznost B</t>
  </si>
  <si>
    <t>F1 skor B</t>
  </si>
  <si>
    <t>AUC B</t>
  </si>
  <si>
    <t> 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</si>
</sst>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F172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</cellXfs>
  <cellStyles count="1">
    <cellStyle name="Normal" xfId="0" builtinId="0"/>
  </cellStyles>
  <dxfs count="28"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4" formatCode="0.00%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</font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174EA-41C6-4A70-8404-3C53704F5F52}" name="Table1" displayName="Table1" ref="A1:I8" totalsRowShown="0" headerRowDxfId="27" dataDxfId="25" headerRowBorderDxfId="26" tableBorderDxfId="24" totalsRowBorderDxfId="23">
  <autoFilter ref="A1:I8" xr:uid="{BF6174EA-41C6-4A70-8404-3C53704F5F52}"/>
  <tableColumns count="9">
    <tableColumn id="1" xr3:uid="{6401034C-4ED1-407E-80E7-E2EB16481849}" name="Metrike" dataDxfId="22"/>
    <tableColumn id="2" xr3:uid="{06EA2B4A-F014-4F63-905A-7BEAFC1FD8C5}" name="C# 1" dataDxfId="21"/>
    <tableColumn id="3" xr3:uid="{563E5A62-D0F0-4031-8459-95E4BA9CBDBF}" name="C# 2" dataDxfId="20"/>
    <tableColumn id="4" xr3:uid="{7D0CB0C7-4969-4EB9-BE3C-DA23CDD44FEF}" name="C# 3" dataDxfId="19"/>
    <tableColumn id="5" xr3:uid="{1A84A58D-83EA-4727-8B18-4376488C71F5}" name="Prosjek  ± SD" dataDxfId="18">
      <calculatedColumnFormula>FIXED(AVERAGE(B2:D2)*100, 2, TRUE) &amp; " ± " &amp; FIXED(_xlfn.STDEV.S(B2:D2)*100, 2, TRUE)</calculatedColumnFormula>
    </tableColumn>
    <tableColumn id="6" xr3:uid="{6FF159A5-3BC3-4C92-9E1B-3CC1928362A2}" name="Python 1" dataDxfId="17"/>
    <tableColumn id="7" xr3:uid="{9F166926-181C-4216-B003-78A81AF433F0}" name="Python 2" dataDxfId="16"/>
    <tableColumn id="8" xr3:uid="{6C1EB1E5-9678-457D-AEA4-1060E1BAE98C}" name="Python 3" dataDxfId="15"/>
    <tableColumn id="9" xr3:uid="{11A3B271-D5F8-4C88-8C76-F2361DB67978}" name="Prosjek ± SD2" dataDxfId="14">
      <calculatedColumnFormula>FIXED(AVERAGE(F2:H2)*100, 2, TRUE) &amp; " ± " &amp; FIXED(_xlfn.STDEV.S(F2:H2)*100, 2, TRUE)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F13A1-CDF0-4E28-A11F-4CED5C7B80BB}" name="Table13" displayName="Table13" ref="A1:I13" totalsRowShown="0" headerRowDxfId="13" dataDxfId="11" headerRowBorderDxfId="12" tableBorderDxfId="10" totalsRowBorderDxfId="9">
  <autoFilter ref="A1:I13" xr:uid="{BF6174EA-41C6-4A70-8404-3C53704F5F52}"/>
  <tableColumns count="9">
    <tableColumn id="1" xr3:uid="{7A17A4D7-B4D5-4FCB-A67A-2A0F42F0B6CE}" name="Metrike" dataDxfId="8"/>
    <tableColumn id="2" xr3:uid="{95EDF1DA-B914-462E-AB64-7BC3F5FA4645}" name="C# 1" dataDxfId="7"/>
    <tableColumn id="3" xr3:uid="{4611FF27-266D-4D37-96AC-D85648DAC03E}" name="C# 2" dataDxfId="6"/>
    <tableColumn id="4" xr3:uid="{5C582590-5102-47EC-99B8-1973D4C8FEDD}" name="C# 3" dataDxfId="5"/>
    <tableColumn id="5" xr3:uid="{58433FD4-9BD7-4844-95EE-B57A34492735}" name="Prosjek  ± SD" dataDxfId="4">
      <calculatedColumnFormula>FIXED(AVERAGE(B2:D2)*100, 2, TRUE) &amp; " ± " &amp; FIXED(_xlfn.STDEV.S(B2:D2)*100, 2, TRUE)</calculatedColumnFormula>
    </tableColumn>
    <tableColumn id="6" xr3:uid="{087F457F-33E5-4759-8129-8C4D449E1FA6}" name="Python 1" dataDxfId="3"/>
    <tableColumn id="7" xr3:uid="{75421E3E-EB51-4A00-B121-E1A1608AED18}" name="Python 2" dataDxfId="2"/>
    <tableColumn id="8" xr3:uid="{5D17EC5C-729B-4C98-94ED-711B1588306E}" name="Python 3" dataDxfId="1"/>
    <tableColumn id="9" xr3:uid="{B6EA0973-CDAB-437D-9237-F730BA0C40C7}" name="Prosjek ± SD2" dataDxfId="0">
      <calculatedColumnFormula>FIXED(AVERAGE(F2:H2)*100, 2, TRUE) &amp; " ± " &amp; FIXED(_xlfn.STDEV.S(F2:H2)*100, 2, 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CACA-8FD4-4875-BFC4-0E4960F0D112}">
  <dimension ref="A1:I8"/>
  <sheetViews>
    <sheetView tabSelected="1" zoomScale="190" zoomScaleNormal="190" workbookViewId="0">
      <selection activeCell="E6" sqref="E6"/>
    </sheetView>
  </sheetViews>
  <sheetFormatPr defaultRowHeight="15" x14ac:dyDescent="0.25"/>
  <cols>
    <col min="1" max="9" width="10.7109375" customWidth="1"/>
  </cols>
  <sheetData>
    <row r="1" spans="1:9" ht="31.5" x14ac:dyDescent="0.25">
      <c r="A1" s="1" t="s">
        <v>14</v>
      </c>
      <c r="B1" s="2" t="s">
        <v>0</v>
      </c>
      <c r="C1" s="2" t="s">
        <v>1</v>
      </c>
      <c r="D1" s="2" t="s">
        <v>2</v>
      </c>
      <c r="E1" s="2" t="s">
        <v>15</v>
      </c>
      <c r="F1" s="2" t="s">
        <v>3</v>
      </c>
      <c r="G1" s="2" t="s">
        <v>4</v>
      </c>
      <c r="H1" s="2" t="s">
        <v>5</v>
      </c>
      <c r="I1" s="3" t="s">
        <v>13</v>
      </c>
    </row>
    <row r="2" spans="1:9" ht="30" customHeight="1" x14ac:dyDescent="0.25">
      <c r="A2" s="4" t="s">
        <v>6</v>
      </c>
      <c r="B2" s="27">
        <v>184.05</v>
      </c>
      <c r="C2" s="27">
        <v>189.8</v>
      </c>
      <c r="D2" s="27">
        <v>192.57</v>
      </c>
      <c r="E2" s="27" t="str">
        <f t="shared" ref="E2:E8" si="0">FIXED(AVERAGE(B2:D2)*100, 2, TRUE) &amp; " ± " &amp; FIXED(_xlfn.STDEV.S(B2:D2)*100, 2, TRUE)</f>
        <v>18880,67 ± 434,60</v>
      </c>
      <c r="F2" s="27">
        <v>283.79000000000002</v>
      </c>
      <c r="G2" s="27">
        <v>330.07</v>
      </c>
      <c r="H2" s="27">
        <v>294.75</v>
      </c>
      <c r="I2" s="28" t="str">
        <f t="shared" ref="I2:I8" si="1">FIXED(AVERAGE(F2:H2)*100, 2, TRUE) &amp; " ± " &amp; FIXED(_xlfn.STDEV.S(F2:H2)*100, 2, TRUE)</f>
        <v>30287,00 ± 2418,49</v>
      </c>
    </row>
    <row r="3" spans="1:9" ht="30" customHeight="1" x14ac:dyDescent="0.25">
      <c r="A3" s="6" t="s">
        <v>7</v>
      </c>
      <c r="B3" s="5">
        <v>0.8145</v>
      </c>
      <c r="C3" s="5">
        <v>0.80730000000000002</v>
      </c>
      <c r="D3" s="5">
        <v>0.86909999999999998</v>
      </c>
      <c r="E3" s="5" t="str">
        <f t="shared" si="0"/>
        <v>83,03 ± 3,38</v>
      </c>
      <c r="F3" s="5">
        <v>0.80730000000000002</v>
      </c>
      <c r="G3" s="5">
        <v>0.82179999999999997</v>
      </c>
      <c r="H3" s="5">
        <v>0.88729999999999998</v>
      </c>
      <c r="I3" s="29" t="str">
        <f t="shared" si="1"/>
        <v>83,88 ± 4,26</v>
      </c>
    </row>
    <row r="4" spans="1:9" ht="30" customHeight="1" x14ac:dyDescent="0.25">
      <c r="A4" s="6" t="s">
        <v>8</v>
      </c>
      <c r="B4" s="5">
        <v>1</v>
      </c>
      <c r="C4" s="5">
        <v>1</v>
      </c>
      <c r="D4" s="5">
        <v>1</v>
      </c>
      <c r="E4" s="5" t="str">
        <f t="shared" si="0"/>
        <v>100,00 ± 0,00</v>
      </c>
      <c r="F4" s="5">
        <v>1</v>
      </c>
      <c r="G4" s="5">
        <v>1</v>
      </c>
      <c r="H4" s="5">
        <v>1</v>
      </c>
      <c r="I4" s="29" t="str">
        <f t="shared" si="1"/>
        <v>100,00 ± 0,00</v>
      </c>
    </row>
    <row r="5" spans="1:9" ht="30" customHeight="1" x14ac:dyDescent="0.25">
      <c r="A5" s="6" t="s">
        <v>9</v>
      </c>
      <c r="B5" s="5">
        <v>0.68810000000000004</v>
      </c>
      <c r="C5" s="5">
        <v>0.74760000000000004</v>
      </c>
      <c r="D5" s="5">
        <v>0.75060000000000004</v>
      </c>
      <c r="E5" s="5" t="str">
        <f t="shared" si="0"/>
        <v>72,88 ± 3,53</v>
      </c>
      <c r="F5" s="5">
        <v>0.65380000000000005</v>
      </c>
      <c r="G5" s="5">
        <v>0.72450000000000003</v>
      </c>
      <c r="H5" s="5">
        <v>0.76490000000000002</v>
      </c>
      <c r="I5" s="29" t="str">
        <f t="shared" si="1"/>
        <v>71,44 ± 5,62</v>
      </c>
    </row>
    <row r="6" spans="1:9" ht="30" customHeight="1" x14ac:dyDescent="0.25">
      <c r="A6" s="6" t="s">
        <v>10</v>
      </c>
      <c r="B6" s="5">
        <v>0.69420000000000004</v>
      </c>
      <c r="C6" s="5">
        <v>0.78269999999999995</v>
      </c>
      <c r="D6" s="5">
        <v>0.7581</v>
      </c>
      <c r="E6" s="5" t="str">
        <f t="shared" si="0"/>
        <v>74,50 ± 4,57</v>
      </c>
      <c r="F6" s="5">
        <v>0.64829999999999999</v>
      </c>
      <c r="G6" s="5">
        <v>0.74809999999999999</v>
      </c>
      <c r="H6" s="5">
        <v>0.71089999999999998</v>
      </c>
      <c r="I6" s="29" t="str">
        <f t="shared" si="1"/>
        <v>70,24 ± 5,04</v>
      </c>
    </row>
    <row r="7" spans="1:9" ht="30" customHeight="1" x14ac:dyDescent="0.25">
      <c r="A7" s="6" t="s">
        <v>11</v>
      </c>
      <c r="B7" s="5">
        <v>0.68530000000000002</v>
      </c>
      <c r="C7" s="5">
        <v>0.71930000000000005</v>
      </c>
      <c r="D7" s="5">
        <v>0.75370000000000004</v>
      </c>
      <c r="E7" s="5" t="str">
        <f t="shared" si="0"/>
        <v>71,94 ± 3,42</v>
      </c>
      <c r="F7" s="5">
        <v>0.64939999999999998</v>
      </c>
      <c r="G7" s="5">
        <v>0.72089999999999999</v>
      </c>
      <c r="H7" s="5">
        <v>0.71479999999999999</v>
      </c>
      <c r="I7" s="29" t="str">
        <f t="shared" si="1"/>
        <v>69,50 ± 3,96</v>
      </c>
    </row>
    <row r="8" spans="1:9" ht="30" customHeight="1" x14ac:dyDescent="0.25">
      <c r="A8" s="7" t="s">
        <v>12</v>
      </c>
      <c r="B8" s="8">
        <v>0.91490000000000005</v>
      </c>
      <c r="C8" s="8">
        <v>0.94889999999999997</v>
      </c>
      <c r="D8" s="8">
        <v>0.93140000000000001</v>
      </c>
      <c r="E8" s="8" t="str">
        <f t="shared" si="0"/>
        <v>93,17 ± 1,70</v>
      </c>
      <c r="F8" s="8">
        <v>0.91459999999999997</v>
      </c>
      <c r="G8" s="8">
        <v>0.91869999999999996</v>
      </c>
      <c r="H8" s="8">
        <v>0.93210000000000004</v>
      </c>
      <c r="I8" s="30" t="str">
        <f t="shared" si="1"/>
        <v>92,18 ± 0,92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F9AE-340D-45E7-8E0B-1674AF8EE496}">
  <dimension ref="A1:I13"/>
  <sheetViews>
    <sheetView zoomScaleNormal="100" workbookViewId="0">
      <selection activeCell="D9" sqref="D9"/>
    </sheetView>
  </sheetViews>
  <sheetFormatPr defaultRowHeight="15" x14ac:dyDescent="0.25"/>
  <cols>
    <col min="1" max="9" width="15.7109375" customWidth="1"/>
  </cols>
  <sheetData>
    <row r="1" spans="1:9" ht="30" customHeight="1" x14ac:dyDescent="0.25">
      <c r="A1" s="9" t="s">
        <v>14</v>
      </c>
      <c r="B1" s="10" t="s">
        <v>0</v>
      </c>
      <c r="C1" s="10" t="s">
        <v>1</v>
      </c>
      <c r="D1" s="10" t="s">
        <v>2</v>
      </c>
      <c r="E1" s="10" t="s">
        <v>15</v>
      </c>
      <c r="F1" s="10" t="s">
        <v>3</v>
      </c>
      <c r="G1" s="10" t="s">
        <v>4</v>
      </c>
      <c r="H1" s="10" t="s">
        <v>5</v>
      </c>
      <c r="I1" s="11" t="s">
        <v>13</v>
      </c>
    </row>
    <row r="2" spans="1:9" ht="30" customHeight="1" x14ac:dyDescent="0.25">
      <c r="A2" s="12" t="s">
        <v>24</v>
      </c>
      <c r="B2" s="21">
        <v>0.4</v>
      </c>
      <c r="C2" s="21">
        <v>0.8</v>
      </c>
      <c r="D2" s="22">
        <v>0.4667</v>
      </c>
      <c r="E2" s="13" t="str">
        <f t="shared" ref="E2:E7" si="0">FIXED(AVERAGE(B2:D2)*100, 2, TRUE) &amp; " ± " &amp; FIXED(_xlfn.STDEV.S(B2:D2)*100, 2, TRUE)</f>
        <v>55,56 ± 21,43</v>
      </c>
      <c r="F2" s="22">
        <v>0.23330000000000001</v>
      </c>
      <c r="G2" s="23">
        <v>0.6</v>
      </c>
      <c r="H2" s="23">
        <v>0.2</v>
      </c>
      <c r="I2" s="24" t="str">
        <f t="shared" ref="I2:I13" si="1">FIXED(AVERAGE(F2:H2)*100, 2, TRUE) &amp; " ± " &amp; FIXED(_xlfn.STDEV.S(F2:H2)*100, 2, TRUE)</f>
        <v>34,44 ± 22,20</v>
      </c>
    </row>
    <row r="3" spans="1:9" ht="30" customHeight="1" x14ac:dyDescent="0.25">
      <c r="A3" s="14" t="s">
        <v>25</v>
      </c>
      <c r="B3" s="22">
        <v>0.26669999999999999</v>
      </c>
      <c r="C3" s="22">
        <v>0.33800000000000002</v>
      </c>
      <c r="D3" s="22">
        <v>0.4118</v>
      </c>
      <c r="E3" s="13" t="str">
        <f t="shared" si="0"/>
        <v>33,88 ± 7,26</v>
      </c>
      <c r="F3" s="22">
        <v>0.2414</v>
      </c>
      <c r="G3" s="22">
        <v>0.35289999999999999</v>
      </c>
      <c r="H3" s="21">
        <v>0.5</v>
      </c>
      <c r="I3" s="24" t="str">
        <f t="shared" si="1"/>
        <v>36,48 ± 12,97</v>
      </c>
    </row>
    <row r="4" spans="1:9" ht="30" customHeight="1" x14ac:dyDescent="0.25">
      <c r="A4" s="14" t="s">
        <v>26</v>
      </c>
      <c r="B4" s="21">
        <v>0.32</v>
      </c>
      <c r="C4" s="22">
        <v>0.47520000000000001</v>
      </c>
      <c r="D4" s="22">
        <v>0.4375</v>
      </c>
      <c r="E4" s="13" t="str">
        <f t="shared" si="0"/>
        <v>41,09 ± 8,09</v>
      </c>
      <c r="F4" s="22">
        <v>0.23730000000000001</v>
      </c>
      <c r="G4" s="25">
        <v>0.44440000000000002</v>
      </c>
      <c r="H4" s="22">
        <v>0.28570000000000001</v>
      </c>
      <c r="I4" s="24" t="str">
        <f t="shared" si="1"/>
        <v>32,25 ± 10,83</v>
      </c>
    </row>
    <row r="5" spans="1:9" ht="30" customHeight="1" x14ac:dyDescent="0.25">
      <c r="A5" s="14" t="s">
        <v>18</v>
      </c>
      <c r="B5" s="21">
        <v>1</v>
      </c>
      <c r="C5" s="21">
        <v>1</v>
      </c>
      <c r="D5" s="23">
        <v>1</v>
      </c>
      <c r="E5" s="13" t="str">
        <f t="shared" si="0"/>
        <v>100,00 ± 0,00</v>
      </c>
      <c r="F5" s="23">
        <v>1</v>
      </c>
      <c r="G5" s="21">
        <v>1</v>
      </c>
      <c r="H5" s="21">
        <v>1</v>
      </c>
      <c r="I5" s="24" t="str">
        <f t="shared" si="1"/>
        <v>100,00 ± 0,00</v>
      </c>
    </row>
    <row r="6" spans="1:9" ht="30" customHeight="1" x14ac:dyDescent="0.25">
      <c r="A6" s="14" t="s">
        <v>19</v>
      </c>
      <c r="B6" s="21">
        <v>1</v>
      </c>
      <c r="C6" s="21">
        <v>1</v>
      </c>
      <c r="D6" s="23">
        <v>1</v>
      </c>
      <c r="E6" s="13" t="str">
        <f t="shared" si="0"/>
        <v>100,00 ± 0,00</v>
      </c>
      <c r="F6" s="22">
        <v>0.91559999999999997</v>
      </c>
      <c r="G6" s="22">
        <v>0.97240000000000004</v>
      </c>
      <c r="H6" s="22">
        <v>0.99299999999999999</v>
      </c>
      <c r="I6" s="24" t="str">
        <f t="shared" si="1"/>
        <v>96,03 ± 4,01</v>
      </c>
    </row>
    <row r="7" spans="1:9" ht="30" customHeight="1" x14ac:dyDescent="0.25">
      <c r="A7" s="14" t="s">
        <v>20</v>
      </c>
      <c r="B7" s="21">
        <v>1</v>
      </c>
      <c r="C7" s="21">
        <v>1</v>
      </c>
      <c r="D7" s="23">
        <v>1</v>
      </c>
      <c r="E7" s="13" t="str">
        <f t="shared" si="0"/>
        <v>100,00 ± 0,00</v>
      </c>
      <c r="F7" s="25">
        <v>0.95589999999999997</v>
      </c>
      <c r="G7" s="22">
        <v>0.98599999999999999</v>
      </c>
      <c r="H7" s="22">
        <v>0.99650000000000005</v>
      </c>
      <c r="I7" s="24" t="str">
        <f t="shared" si="1"/>
        <v>97,95 ± 2,11</v>
      </c>
    </row>
    <row r="8" spans="1:9" ht="30" customHeight="1" x14ac:dyDescent="0.25">
      <c r="A8" s="14" t="s">
        <v>16</v>
      </c>
      <c r="B8" s="22">
        <v>0.68269999999999997</v>
      </c>
      <c r="C8" s="22">
        <v>0.54810000000000003</v>
      </c>
      <c r="D8" s="22">
        <v>0.80769999999999997</v>
      </c>
      <c r="E8" s="13" t="str">
        <f t="shared" ref="E8:E12" si="2">FIXED(AVERAGE(B8:D8)*100, 2, TRUE) &amp; " ± " &amp; FIXED(_xlfn.STDEV.S(B8:D8)*100, 2, TRUE)</f>
        <v>67,95 ± 12,98</v>
      </c>
      <c r="F8" s="13">
        <v>0.71150000000000002</v>
      </c>
      <c r="G8" s="22">
        <v>0.64419999999999999</v>
      </c>
      <c r="H8" s="22">
        <v>0.93269999999999997</v>
      </c>
      <c r="I8" s="24" t="str">
        <f t="shared" si="1"/>
        <v>76,28 ± 15,09</v>
      </c>
    </row>
    <row r="9" spans="1:9" ht="30" customHeight="1" x14ac:dyDescent="0.25">
      <c r="A9" s="14" t="s">
        <v>22</v>
      </c>
      <c r="B9" s="22">
        <v>0.79779999999999995</v>
      </c>
      <c r="C9" s="22">
        <v>0.90480000000000005</v>
      </c>
      <c r="D9" s="21">
        <v>0.84</v>
      </c>
      <c r="E9" s="13" t="str">
        <f t="shared" si="2"/>
        <v>84,75 ± 5,39</v>
      </c>
      <c r="F9" s="22">
        <v>0.80430000000000001</v>
      </c>
      <c r="G9" s="22">
        <v>0.84809999999999997</v>
      </c>
      <c r="H9" s="22">
        <v>0.80169999999999997</v>
      </c>
      <c r="I9" s="24" t="str">
        <f t="shared" si="1"/>
        <v>81,80 ± 2,61</v>
      </c>
    </row>
    <row r="10" spans="1:9" ht="30" customHeight="1" x14ac:dyDescent="0.25">
      <c r="A10" s="14" t="s">
        <v>17</v>
      </c>
      <c r="B10" s="22">
        <v>0.73580000000000001</v>
      </c>
      <c r="C10" s="25">
        <v>0.68259999999999998</v>
      </c>
      <c r="D10" s="22">
        <v>0.82350000000000001</v>
      </c>
      <c r="E10" s="13" t="str">
        <f t="shared" si="2"/>
        <v>74,73 ± 7,12</v>
      </c>
      <c r="F10" s="22">
        <v>0.75509999999999999</v>
      </c>
      <c r="G10" s="22">
        <v>0.73219999999999996</v>
      </c>
      <c r="H10" s="22">
        <v>0.86219999999999997</v>
      </c>
      <c r="I10" s="24" t="str">
        <f t="shared" si="1"/>
        <v>78,32 ± 6,94</v>
      </c>
    </row>
    <row r="11" spans="1:9" ht="30" customHeight="1" x14ac:dyDescent="0.25">
      <c r="A11" s="14" t="s">
        <v>27</v>
      </c>
      <c r="B11" s="15">
        <v>0.81799999999999995</v>
      </c>
      <c r="C11" s="15">
        <v>0.89119999999999999</v>
      </c>
      <c r="D11" s="15">
        <v>0.86140000000000005</v>
      </c>
      <c r="E11" s="13" t="str">
        <f t="shared" si="2"/>
        <v>85,69 ± 3,68</v>
      </c>
      <c r="F11" s="15">
        <v>0.80120000000000002</v>
      </c>
      <c r="G11" s="15">
        <v>0.8196</v>
      </c>
      <c r="H11" s="15">
        <v>0.85019999999999996</v>
      </c>
      <c r="I11" s="24" t="str">
        <f t="shared" si="1"/>
        <v>82,37 ± 2,48</v>
      </c>
    </row>
    <row r="12" spans="1:9" ht="30" customHeight="1" x14ac:dyDescent="0.25">
      <c r="A12" s="14" t="s">
        <v>23</v>
      </c>
      <c r="B12" s="16">
        <v>1</v>
      </c>
      <c r="C12" s="16">
        <v>1</v>
      </c>
      <c r="D12" s="16">
        <v>1</v>
      </c>
      <c r="E12" s="13" t="str">
        <f t="shared" si="2"/>
        <v>100,00 ± 0,00</v>
      </c>
      <c r="F12" s="16">
        <v>1</v>
      </c>
      <c r="G12" s="16">
        <v>1</v>
      </c>
      <c r="H12" s="17" t="s">
        <v>28</v>
      </c>
      <c r="I12" s="24" t="str">
        <f t="shared" si="1"/>
        <v>100,00 ± 0,00</v>
      </c>
    </row>
    <row r="13" spans="1:9" ht="30" customHeight="1" x14ac:dyDescent="0.25">
      <c r="A13" s="18" t="s">
        <v>21</v>
      </c>
      <c r="B13" s="19">
        <v>0.92669999999999997</v>
      </c>
      <c r="C13" s="19">
        <v>0.95550000000000002</v>
      </c>
      <c r="D13" s="19">
        <v>0.94320000000000004</v>
      </c>
      <c r="E13" s="20" t="str">
        <f>FIXED(AVERAGE(B13:D13)*100, 2, TRUE) &amp; " ± " &amp; FIXED(_xlfn.STDEV.S(B13:D13)*100, 2, TRUE)</f>
        <v>94,18 ± 1,45</v>
      </c>
      <c r="F13" s="19">
        <v>0.9425</v>
      </c>
      <c r="G13" s="19">
        <v>0.93659999999999999</v>
      </c>
      <c r="H13" s="19">
        <v>0.94620000000000004</v>
      </c>
      <c r="I13" s="26" t="str">
        <f t="shared" si="1"/>
        <v>94,18 ± 0,48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2026-09-21T17:30:18Z</dcterms:created>
  <dcterms:modified xsi:type="dcterms:W3CDTF">2026-09-22T20:26:09Z</dcterms:modified>
</cp:coreProperties>
</file>